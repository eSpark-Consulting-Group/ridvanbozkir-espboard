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ridvanbozkir-espboard\Design Files\Main Board - 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3" i="1" l="1"/>
  <c r="B22" i="1" l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<sst xmlns="http://schemas.openxmlformats.org/spreadsheetml/2006/main" count="159" uniqueCount="124">
  <si>
    <t>#</t>
  </si>
  <si>
    <t>Item Type</t>
  </si>
  <si>
    <t>Capacitor</t>
  </si>
  <si>
    <t>USB B Connector</t>
  </si>
  <si>
    <t>RJ12 Connector</t>
  </si>
  <si>
    <t>Inductor</t>
  </si>
  <si>
    <t>LED</t>
  </si>
  <si>
    <t>Buzzers</t>
  </si>
  <si>
    <t>OLED</t>
  </si>
  <si>
    <t>Mosfet</t>
  </si>
  <si>
    <t>MOSFET</t>
  </si>
  <si>
    <t>Resistor</t>
  </si>
  <si>
    <t>Evalution Board</t>
  </si>
  <si>
    <t>IC</t>
  </si>
  <si>
    <t>Designator</t>
  </si>
  <si>
    <t>C1, C6</t>
  </si>
  <si>
    <t>C2, C3, C4, C5</t>
  </si>
  <si>
    <t>D1</t>
  </si>
  <si>
    <t>J1</t>
  </si>
  <si>
    <t>J2</t>
  </si>
  <si>
    <t>L1</t>
  </si>
  <si>
    <t>LED1</t>
  </si>
  <si>
    <t>LS1</t>
  </si>
  <si>
    <t>OLED1</t>
  </si>
  <si>
    <t>Q1</t>
  </si>
  <si>
    <t>Q2</t>
  </si>
  <si>
    <t>R1, R2, R3, R4</t>
  </si>
  <si>
    <t>R5</t>
  </si>
  <si>
    <t>R6</t>
  </si>
  <si>
    <t>R7</t>
  </si>
  <si>
    <t>R8</t>
  </si>
  <si>
    <t>R9</t>
  </si>
  <si>
    <t>U1</t>
  </si>
  <si>
    <t>U2</t>
  </si>
  <si>
    <t>U3</t>
  </si>
  <si>
    <t>Description</t>
  </si>
  <si>
    <t>CAP CER 0.1UF 50V X5R 0402</t>
  </si>
  <si>
    <t>CAP CER 10UF 25V X5R 0603</t>
  </si>
  <si>
    <t>40V 500mV@2A 2A SMA(DO-214AC) Schottky Barrier Diodes (SBD) ROHS</t>
  </si>
  <si>
    <t>1.5A USB 2.0 1 235℃ Bend insert 4P Female -40℃~+85℃ Gold Brass Type-B Plugin USB Connectors ROHS</t>
  </si>
  <si>
    <t>CONN MOD JACK 6P6C R/A UNSHLD</t>
  </si>
  <si>
    <t>FIXED IND 2.2UH 1.5A 72 MOHM SMD</t>
  </si>
  <si>
    <t>Emerald 0603 Light Emitting Diodes (LED) ROHS</t>
  </si>
  <si>
    <t>85dB Passive (external drive) Electromagnetic Type 2kHz Plugin,D=12mm Buzzers ROHS</t>
  </si>
  <si>
    <t>TRANS NPN 40V 0.6A SMD SOT23-3</t>
  </si>
  <si>
    <t>P-Channel MOSFETs ROHS</t>
  </si>
  <si>
    <t>RES 4.7K OHM 1% 1/16W 0402</t>
  </si>
  <si>
    <t>RES SMD 100K OHM 0.1% 1/16W 0402</t>
  </si>
  <si>
    <t>RES SMD 1K OHM 1% 1/5W 0402</t>
  </si>
  <si>
    <t>RES 470 OHM 1% 1/16W 0402</t>
  </si>
  <si>
    <t>RES 100 OHM 1% 1/16W 0402</t>
  </si>
  <si>
    <t>IC BATT CNTL LI-ION 1CEL SOT23-5</t>
  </si>
  <si>
    <t>IC REG BCK BST 5V 1.6A 10VSON</t>
  </si>
  <si>
    <t>Footprint</t>
  </si>
  <si>
    <t>Cap-0402</t>
  </si>
  <si>
    <t>Cap-0603</t>
  </si>
  <si>
    <t>SMA</t>
  </si>
  <si>
    <t>U241-041N-1WR85-5</t>
  </si>
  <si>
    <t>NR3015T2R2M</t>
  </si>
  <si>
    <t>LED-0603</t>
  </si>
  <si>
    <t>Plugin,D=12mm</t>
  </si>
  <si>
    <t>SOT-23</t>
  </si>
  <si>
    <t>Res-0402</t>
  </si>
  <si>
    <t>SOT-23-5</t>
  </si>
  <si>
    <t>Manufacturer Part Number</t>
  </si>
  <si>
    <t>CL10A106MA8NRNC</t>
  </si>
  <si>
    <t>SS24A</t>
  </si>
  <si>
    <t>95501-2661</t>
  </si>
  <si>
    <t>NCD0603G2</t>
  </si>
  <si>
    <t>SEA-1285F-0520-42Ω-40P6.5</t>
  </si>
  <si>
    <t>MMBT2222A-7-F</t>
  </si>
  <si>
    <t>DMG3415U</t>
  </si>
  <si>
    <t>RC0402FR-074K7L</t>
  </si>
  <si>
    <t>RT0402BRD07100KL</t>
  </si>
  <si>
    <t>CRCW04021K00FKEDHP</t>
  </si>
  <si>
    <t>RC0402FR-07470RL</t>
  </si>
  <si>
    <t>RC0402FR-07100RL</t>
  </si>
  <si>
    <t>MCP73831T-2ACI/OT</t>
  </si>
  <si>
    <t>TPS63002DRCR</t>
  </si>
  <si>
    <t>Manufacturer</t>
  </si>
  <si>
    <t>TDK</t>
  </si>
  <si>
    <t>Samsung</t>
  </si>
  <si>
    <t>Guangdong Hottech</t>
  </si>
  <si>
    <t>XKB Connection</t>
  </si>
  <si>
    <t>Molex</t>
  </si>
  <si>
    <t>Taiyo Yuden</t>
  </si>
  <si>
    <t>Foshan NationStar Optoelectronics</t>
  </si>
  <si>
    <t>S&amp;S</t>
  </si>
  <si>
    <t>Diodes</t>
  </si>
  <si>
    <t>TECH PUBLIC</t>
  </si>
  <si>
    <t>Yageo</t>
  </si>
  <si>
    <t>Vishay Dale</t>
  </si>
  <si>
    <t>Espressif Systems</t>
  </si>
  <si>
    <t>Microchip</t>
  </si>
  <si>
    <t>Texas Instruments</t>
  </si>
  <si>
    <t>0.1uF</t>
  </si>
  <si>
    <t>10uF</t>
  </si>
  <si>
    <t>2.2uH</t>
  </si>
  <si>
    <t>4.7K</t>
  </si>
  <si>
    <t>100K</t>
  </si>
  <si>
    <t>1K</t>
  </si>
  <si>
    <t>470R</t>
  </si>
  <si>
    <t>100R</t>
  </si>
  <si>
    <t>Quantity</t>
  </si>
  <si>
    <t>Value</t>
  </si>
  <si>
    <t>Remarks</t>
  </si>
  <si>
    <t>-</t>
  </si>
  <si>
    <t>--</t>
  </si>
  <si>
    <t>Custom</t>
  </si>
  <si>
    <t>Diode</t>
  </si>
  <si>
    <t>10-VSON</t>
  </si>
  <si>
    <t>Peripheral</t>
  </si>
  <si>
    <t>Battery</t>
  </si>
  <si>
    <t>Aliexpress</t>
  </si>
  <si>
    <t>701535 3.7V 350mAh Polymer Lithium Rechargeable Battery for Bluetooth Headset Dog Training Device Credit Card Machine Battery</t>
  </si>
  <si>
    <t>1.3 inch I2C OLED Display 128x64 - Blue/Black</t>
  </si>
  <si>
    <t>1.3 inch I2C OLED Display</t>
  </si>
  <si>
    <t>Robolink</t>
  </si>
  <si>
    <t>C1005X7R1H104KT000F</t>
  </si>
  <si>
    <t>ESP32-PICO-KIT-1</t>
  </si>
  <si>
    <t>Development Board ESP32-PICO-V3</t>
  </si>
  <si>
    <t>RC0402FR-076K8L</t>
  </si>
  <si>
    <t>6.8K</t>
  </si>
  <si>
    <t>RES 6.8K OHM 1% 1/16W 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</si>
</sst>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  <xf numFmtId="0" fontId="6" fillId="2" borderId="6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obolinkmarket.com/13-inch-oled-module-white-color-128x64" TargetMode="External"/><Relationship Id="rId1" Type="http://schemas.openxmlformats.org/officeDocument/2006/relationships/hyperlink" Target="https://vi.aliexpress.com/item/1005007195641354.html?gatewayAdapt=glo2v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3"/>
  <sheetViews>
    <sheetView tabSelected="1" workbookViewId="0">
      <selection activeCell="F18" sqref="F1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2.85546875" bestFit="1" customWidth="1"/>
    <col min="7" max="7" width="25.28515625" bestFit="1" customWidth="1"/>
    <col min="8" max="8" width="16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14</v>
      </c>
      <c r="E2" s="6" t="s">
        <v>35</v>
      </c>
      <c r="F2" s="5" t="s">
        <v>53</v>
      </c>
      <c r="G2" s="6" t="s">
        <v>64</v>
      </c>
      <c r="H2" s="5" t="s">
        <v>79</v>
      </c>
      <c r="I2" s="6" t="s">
        <v>104</v>
      </c>
      <c r="J2" s="5" t="s">
        <v>103</v>
      </c>
      <c r="K2" s="5" t="s">
        <v>105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15</v>
      </c>
      <c r="E3" s="8" t="s">
        <v>36</v>
      </c>
      <c r="F3" s="7" t="s">
        <v>54</v>
      </c>
      <c r="G3" s="8" t="s">
        <v>118</v>
      </c>
      <c r="H3" s="7" t="s">
        <v>80</v>
      </c>
      <c r="I3" s="8" t="s">
        <v>95</v>
      </c>
      <c r="J3" s="7">
        <v>2</v>
      </c>
      <c r="K3" s="7"/>
    </row>
    <row r="4" spans="1:11" ht="15.75" thickBot="1" x14ac:dyDescent="0.3">
      <c r="A4" s="1"/>
      <c r="B4" s="11">
        <f t="shared" ref="B4:B23" si="0">ROW(B4) - ROW($B$2)</f>
        <v>2</v>
      </c>
      <c r="C4" s="12" t="s">
        <v>2</v>
      </c>
      <c r="D4" s="9" t="s">
        <v>16</v>
      </c>
      <c r="E4" s="10" t="s">
        <v>37</v>
      </c>
      <c r="F4" s="9" t="s">
        <v>55</v>
      </c>
      <c r="G4" s="10" t="s">
        <v>65</v>
      </c>
      <c r="H4" s="9" t="s">
        <v>81</v>
      </c>
      <c r="I4" s="10" t="s">
        <v>96</v>
      </c>
      <c r="J4" s="9">
        <v>4</v>
      </c>
      <c r="K4" s="9"/>
    </row>
    <row r="5" spans="1:11" ht="24.75" thickBot="1" x14ac:dyDescent="0.3">
      <c r="A5" s="1"/>
      <c r="B5" s="11">
        <f>ROW(B5) - ROW($B$2)</f>
        <v>3</v>
      </c>
      <c r="C5" s="12" t="s">
        <v>109</v>
      </c>
      <c r="D5" s="7" t="s">
        <v>17</v>
      </c>
      <c r="E5" s="8" t="s">
        <v>38</v>
      </c>
      <c r="F5" s="7" t="s">
        <v>56</v>
      </c>
      <c r="G5" s="8" t="s">
        <v>66</v>
      </c>
      <c r="H5" s="7" t="s">
        <v>82</v>
      </c>
      <c r="I5" s="8" t="s">
        <v>106</v>
      </c>
      <c r="J5" s="7">
        <v>1</v>
      </c>
      <c r="K5" s="7"/>
    </row>
    <row r="6" spans="1:11" ht="36.75" thickBot="1" x14ac:dyDescent="0.3">
      <c r="A6" s="1"/>
      <c r="B6" s="11">
        <f t="shared" si="0"/>
        <v>4</v>
      </c>
      <c r="C6" s="13" t="s">
        <v>3</v>
      </c>
      <c r="D6" s="9" t="s">
        <v>18</v>
      </c>
      <c r="E6" s="10" t="s">
        <v>39</v>
      </c>
      <c r="F6" s="9" t="s">
        <v>108</v>
      </c>
      <c r="G6" s="10" t="s">
        <v>57</v>
      </c>
      <c r="H6" s="9" t="s">
        <v>83</v>
      </c>
      <c r="I6" s="10" t="s">
        <v>106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19</v>
      </c>
      <c r="E7" s="8" t="s">
        <v>40</v>
      </c>
      <c r="F7" s="9" t="s">
        <v>108</v>
      </c>
      <c r="G7" s="8" t="s">
        <v>67</v>
      </c>
      <c r="H7" s="7" t="s">
        <v>84</v>
      </c>
      <c r="I7" s="8" t="s">
        <v>106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5</v>
      </c>
      <c r="D8" s="9" t="s">
        <v>20</v>
      </c>
      <c r="E8" s="10" t="s">
        <v>41</v>
      </c>
      <c r="F8" s="9" t="s">
        <v>108</v>
      </c>
      <c r="G8" s="10" t="s">
        <v>58</v>
      </c>
      <c r="H8" s="9" t="s">
        <v>85</v>
      </c>
      <c r="I8" s="10" t="s">
        <v>97</v>
      </c>
      <c r="J8" s="9">
        <v>1</v>
      </c>
      <c r="K8" s="9"/>
    </row>
    <row r="9" spans="1:11" ht="24.75" thickBot="1" x14ac:dyDescent="0.3">
      <c r="A9" s="1"/>
      <c r="B9" s="11">
        <f>ROW(B9) - ROW($B$2)</f>
        <v>7</v>
      </c>
      <c r="C9" s="12" t="s">
        <v>6</v>
      </c>
      <c r="D9" s="7" t="s">
        <v>21</v>
      </c>
      <c r="E9" s="8" t="s">
        <v>42</v>
      </c>
      <c r="F9" s="7" t="s">
        <v>59</v>
      </c>
      <c r="G9" s="8" t="s">
        <v>68</v>
      </c>
      <c r="H9" s="7" t="s">
        <v>86</v>
      </c>
      <c r="I9" s="14" t="s">
        <v>107</v>
      </c>
      <c r="J9" s="7">
        <v>1</v>
      </c>
      <c r="K9" s="7"/>
    </row>
    <row r="10" spans="1:11" ht="36.75" thickBot="1" x14ac:dyDescent="0.3">
      <c r="A10" s="1"/>
      <c r="B10" s="11">
        <f t="shared" si="0"/>
        <v>8</v>
      </c>
      <c r="C10" s="13" t="s">
        <v>7</v>
      </c>
      <c r="D10" s="9" t="s">
        <v>22</v>
      </c>
      <c r="E10" s="10" t="s">
        <v>43</v>
      </c>
      <c r="F10" s="9" t="s">
        <v>60</v>
      </c>
      <c r="G10" s="10" t="s">
        <v>69</v>
      </c>
      <c r="H10" s="9" t="s">
        <v>87</v>
      </c>
      <c r="I10" s="10" t="s">
        <v>106</v>
      </c>
      <c r="J10" s="9">
        <v>1</v>
      </c>
      <c r="K10" s="9"/>
    </row>
    <row r="11" spans="1:11" ht="30.75" thickBot="1" x14ac:dyDescent="0.3">
      <c r="A11" s="1"/>
      <c r="B11" s="11">
        <f>ROW(B11) - ROW($B$2)</f>
        <v>9</v>
      </c>
      <c r="C11" s="12" t="s">
        <v>8</v>
      </c>
      <c r="D11" s="7" t="s">
        <v>23</v>
      </c>
      <c r="E11" s="8" t="s">
        <v>115</v>
      </c>
      <c r="F11" s="9" t="s">
        <v>108</v>
      </c>
      <c r="G11" s="8" t="s">
        <v>116</v>
      </c>
      <c r="H11" s="7" t="s">
        <v>106</v>
      </c>
      <c r="I11" s="8" t="s">
        <v>106</v>
      </c>
      <c r="J11" s="7">
        <v>1</v>
      </c>
      <c r="K11" s="16" t="s">
        <v>117</v>
      </c>
    </row>
    <row r="12" spans="1:11" ht="15.75" thickBot="1" x14ac:dyDescent="0.3">
      <c r="A12" s="1"/>
      <c r="B12" s="11">
        <f t="shared" si="0"/>
        <v>10</v>
      </c>
      <c r="C12" s="13" t="s">
        <v>9</v>
      </c>
      <c r="D12" s="9" t="s">
        <v>24</v>
      </c>
      <c r="E12" s="10" t="s">
        <v>44</v>
      </c>
      <c r="F12" s="9" t="s">
        <v>61</v>
      </c>
      <c r="G12" s="10" t="s">
        <v>70</v>
      </c>
      <c r="H12" s="9" t="s">
        <v>88</v>
      </c>
      <c r="I12" s="10" t="s">
        <v>106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10</v>
      </c>
      <c r="D13" s="7" t="s">
        <v>25</v>
      </c>
      <c r="E13" s="8" t="s">
        <v>45</v>
      </c>
      <c r="F13" s="7" t="s">
        <v>61</v>
      </c>
      <c r="G13" s="8" t="s">
        <v>71</v>
      </c>
      <c r="H13" s="7" t="s">
        <v>89</v>
      </c>
      <c r="I13" s="8" t="s">
        <v>106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11</v>
      </c>
      <c r="D14" s="9" t="s">
        <v>26</v>
      </c>
      <c r="E14" s="10" t="s">
        <v>46</v>
      </c>
      <c r="F14" s="9" t="s">
        <v>62</v>
      </c>
      <c r="G14" s="10" t="s">
        <v>72</v>
      </c>
      <c r="H14" s="9" t="s">
        <v>90</v>
      </c>
      <c r="I14" s="10" t="s">
        <v>98</v>
      </c>
      <c r="J14" s="9">
        <v>4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11</v>
      </c>
      <c r="D15" s="7" t="s">
        <v>27</v>
      </c>
      <c r="E15" s="8" t="s">
        <v>47</v>
      </c>
      <c r="F15" s="7" t="s">
        <v>62</v>
      </c>
      <c r="G15" s="8" t="s">
        <v>73</v>
      </c>
      <c r="H15" s="7" t="s">
        <v>90</v>
      </c>
      <c r="I15" s="8" t="s">
        <v>99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11</v>
      </c>
      <c r="D16" s="9" t="s">
        <v>28</v>
      </c>
      <c r="E16" s="10" t="s">
        <v>48</v>
      </c>
      <c r="F16" s="9" t="s">
        <v>62</v>
      </c>
      <c r="G16" s="10" t="s">
        <v>74</v>
      </c>
      <c r="H16" s="9" t="s">
        <v>91</v>
      </c>
      <c r="I16" s="10" t="s">
        <v>100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11</v>
      </c>
      <c r="D17" s="7" t="s">
        <v>29</v>
      </c>
      <c r="E17" s="8" t="s">
        <v>123</v>
      </c>
      <c r="F17" s="7" t="s">
        <v>62</v>
      </c>
      <c r="G17" s="8" t="s">
        <v>121</v>
      </c>
      <c r="H17" s="7" t="s">
        <v>90</v>
      </c>
      <c r="I17" s="8" t="s">
        <v>122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11</v>
      </c>
      <c r="D18" s="9" t="s">
        <v>30</v>
      </c>
      <c r="E18" s="10" t="s">
        <v>49</v>
      </c>
      <c r="F18" s="9" t="s">
        <v>62</v>
      </c>
      <c r="G18" s="10" t="s">
        <v>75</v>
      </c>
      <c r="H18" s="9" t="s">
        <v>90</v>
      </c>
      <c r="I18" s="10" t="s">
        <v>101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11</v>
      </c>
      <c r="D19" s="7" t="s">
        <v>31</v>
      </c>
      <c r="E19" s="8" t="s">
        <v>50</v>
      </c>
      <c r="F19" s="7" t="s">
        <v>62</v>
      </c>
      <c r="G19" s="8" t="s">
        <v>76</v>
      </c>
      <c r="H19" s="7" t="s">
        <v>90</v>
      </c>
      <c r="I19" s="8" t="s">
        <v>102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12</v>
      </c>
      <c r="D20" s="9" t="s">
        <v>32</v>
      </c>
      <c r="E20" s="10" t="s">
        <v>120</v>
      </c>
      <c r="F20" s="9" t="s">
        <v>108</v>
      </c>
      <c r="G20" s="10" t="s">
        <v>119</v>
      </c>
      <c r="H20" s="9" t="s">
        <v>92</v>
      </c>
      <c r="I20" s="10" t="s">
        <v>106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13</v>
      </c>
      <c r="D21" s="7" t="s">
        <v>33</v>
      </c>
      <c r="E21" s="8" t="s">
        <v>51</v>
      </c>
      <c r="F21" s="7" t="s">
        <v>63</v>
      </c>
      <c r="G21" s="8" t="s">
        <v>77</v>
      </c>
      <c r="H21" s="7" t="s">
        <v>93</v>
      </c>
      <c r="I21" s="10" t="s">
        <v>106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13</v>
      </c>
      <c r="D22" s="9" t="s">
        <v>34</v>
      </c>
      <c r="E22" s="10" t="s">
        <v>52</v>
      </c>
      <c r="F22" s="9" t="s">
        <v>110</v>
      </c>
      <c r="G22" s="10" t="s">
        <v>78</v>
      </c>
      <c r="H22" s="9" t="s">
        <v>94</v>
      </c>
      <c r="I22" s="10" t="s">
        <v>106</v>
      </c>
      <c r="J22" s="9">
        <v>1</v>
      </c>
      <c r="K22" s="9"/>
    </row>
    <row r="23" spans="1:11" ht="48.75" thickBot="1" x14ac:dyDescent="0.3">
      <c r="B23" s="11">
        <f t="shared" si="0"/>
        <v>21</v>
      </c>
      <c r="C23" s="13" t="s">
        <v>111</v>
      </c>
      <c r="D23" s="9" t="s">
        <v>112</v>
      </c>
      <c r="E23" s="10" t="s">
        <v>114</v>
      </c>
      <c r="F23" s="9" t="s">
        <v>106</v>
      </c>
      <c r="G23" s="9" t="s">
        <v>112</v>
      </c>
      <c r="H23" s="9" t="s">
        <v>106</v>
      </c>
      <c r="I23" s="10" t="s">
        <v>106</v>
      </c>
      <c r="J23" s="9">
        <v>1</v>
      </c>
      <c r="K23" s="15" t="s">
        <v>113</v>
      </c>
    </row>
  </sheetData>
  <mergeCells count="1">
    <mergeCell ref="I1:K1"/>
  </mergeCells>
  <hyperlinks>
    <hyperlink ref="K23" r:id="rId1"/>
    <hyperlink ref="K11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2024-09-30T12:20:44Z</dcterms:modified>
</cp:coreProperties>
</file>