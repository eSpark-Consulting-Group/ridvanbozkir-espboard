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ridvanbozkir-espboard\Design Files\Main Board - v1.1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8" i="1" l="1"/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<sst xmlns="http://schemas.openxmlformats.org/spreadsheetml/2006/main" count="264" uniqueCount="188">
  <si>
    <t>#</t>
  </si>
  <si>
    <t>Item Type</t>
  </si>
  <si>
    <t>Capacitor</t>
  </si>
  <si>
    <t>Diode</t>
  </si>
  <si>
    <t>Protection Device</t>
  </si>
  <si>
    <t>USB B Connector</t>
  </si>
  <si>
    <t>RJ12 Connector</t>
  </si>
  <si>
    <t>Connector</t>
  </si>
  <si>
    <t>Inductor</t>
  </si>
  <si>
    <t>LED</t>
  </si>
  <si>
    <t>Buzzers</t>
  </si>
  <si>
    <t>OLED Display</t>
  </si>
  <si>
    <t>Mosfet</t>
  </si>
  <si>
    <t>MOSFET</t>
  </si>
  <si>
    <t>Resistor</t>
  </si>
  <si>
    <t>Switch</t>
  </si>
  <si>
    <t>IC</t>
  </si>
  <si>
    <t>Designator</t>
  </si>
  <si>
    <t>C1, C6, C7, C9, C10</t>
  </si>
  <si>
    <t>C2, C3, C4, C5</t>
  </si>
  <si>
    <t>C8</t>
  </si>
  <si>
    <t>C32</t>
  </si>
  <si>
    <t>C33</t>
  </si>
  <si>
    <t>D1</t>
  </si>
  <si>
    <t>D2</t>
  </si>
  <si>
    <t>D9, D10</t>
  </si>
  <si>
    <t>J1</t>
  </si>
  <si>
    <t>J2</t>
  </si>
  <si>
    <t>J4</t>
  </si>
  <si>
    <t>L1</t>
  </si>
  <si>
    <t>LED1</t>
  </si>
  <si>
    <t>LED4, LED5</t>
  </si>
  <si>
    <t>LS1</t>
  </si>
  <si>
    <t>OLED1</t>
  </si>
  <si>
    <t>Q1</t>
  </si>
  <si>
    <t>Q2</t>
  </si>
  <si>
    <t>Q3, Q4</t>
  </si>
  <si>
    <t>R1, R2, R3, R4</t>
  </si>
  <si>
    <t>R5</t>
  </si>
  <si>
    <t>R6</t>
  </si>
  <si>
    <t>R7</t>
  </si>
  <si>
    <t>R8</t>
  </si>
  <si>
    <t>R9</t>
  </si>
  <si>
    <t>R10, R17, R21</t>
  </si>
  <si>
    <t>R15</t>
  </si>
  <si>
    <t>R16</t>
  </si>
  <si>
    <t>R18, R20</t>
  </si>
  <si>
    <t>R19</t>
  </si>
  <si>
    <t>SW1, SW2</t>
  </si>
  <si>
    <t>U1</t>
  </si>
  <si>
    <t>U2</t>
  </si>
  <si>
    <t>U3</t>
  </si>
  <si>
    <t>U6</t>
  </si>
  <si>
    <t>Description</t>
  </si>
  <si>
    <t>CAP CER 0.1UF 50V X7R 0402</t>
  </si>
  <si>
    <t>CAP CER 10UF 25V X5R 0603</t>
  </si>
  <si>
    <t>CAP CER 22UF 10V X5R 0402</t>
  </si>
  <si>
    <t>CAP CER 1UF 25V X5R 0402</t>
  </si>
  <si>
    <t>CAP CER 4.7UF 25V X5R 0603</t>
  </si>
  <si>
    <t>40V 500mV@2A 2A SMA(DO-214AC) Schottky Barrier Diodes (SBD) ROHS</t>
  </si>
  <si>
    <t>DIODE GEN PURP 100V 300MA SOD123</t>
  </si>
  <si>
    <t>SOD-523 ESD Protection Devices ROHS</t>
  </si>
  <si>
    <t>1.5A USB 2.0 1 235℃ Bend insert 4P Female -40℃~+85℃ Gold Brass Type-B Plugin USB Connectors ROHS</t>
  </si>
  <si>
    <t>CONN MOD JACK 6P6C R/A UNSHLD</t>
  </si>
  <si>
    <t>1x6P SH 1 1mm 6 SMD,P=1mm Wire To Board / Wire To Wire Connector ROHS</t>
  </si>
  <si>
    <t>FIXED IND 2.2UH 1.5A 72 MOHM SMD</t>
  </si>
  <si>
    <t>Emerald 0603 Light Emitting Diodes (LED) ROHS</t>
  </si>
  <si>
    <t>RED LED 0603 Light Emitting Diodes</t>
  </si>
  <si>
    <t>80dB Passive (external drive) Electromagnetic Type 4kHz SMD,5x5mm Buzzers ROHS</t>
  </si>
  <si>
    <t>1.3 inch I2C OLED Display 128x64 - Blue/Black</t>
  </si>
  <si>
    <t>TRANS NPN 40V 0.6A SMD SOT23-3</t>
  </si>
  <si>
    <t>P-Channel MOSFETs ROHS</t>
  </si>
  <si>
    <t>25V 300mW 120@100mA,1V 1.5A NPN SOT-23 Bipolar Transistors - BJT ROHS</t>
  </si>
  <si>
    <t>RES 4.7K OHM 1% 1/16W 0402</t>
  </si>
  <si>
    <t>RES SMD 100K OHM 0.1% 1/16W 0402</t>
  </si>
  <si>
    <t>RES SMD 1K OHM 1% 1/5W 0402</t>
  </si>
  <si>
    <t>RES 6.8K OHM 1% 1/16W 0402</t>
  </si>
  <si>
    <t>RES 470 OHM 1% 1/16W 0402</t>
  </si>
  <si>
    <t>RES 100 OHM 1% 1/16W 0402</t>
  </si>
  <si>
    <t>RES 10K OHM 1% 1/16W 0402</t>
  </si>
  <si>
    <t>RES 2K OHM 1% 1/16W 0402</t>
  </si>
  <si>
    <t>RES 22.1K OHM 1% 1/10W 0603</t>
  </si>
  <si>
    <t>RES SMD 220 OHM 1% 1/10W 0603</t>
  </si>
  <si>
    <t>RES 47.5K OHM 1% 1/10W 0603</t>
  </si>
  <si>
    <t>SWITCH TACTILE SPST-NO 0.05A 12V</t>
  </si>
  <si>
    <t>RX TXRX MOD WIFI TRACE ANT SMD</t>
  </si>
  <si>
    <t>IC BATT CNTL LI-ION 1CEL SOT23-5</t>
  </si>
  <si>
    <t>IC REG BUCK BST 3.3V 1.6A 10VSON</t>
  </si>
  <si>
    <t>Full Speed USB to UART Bridge USB 2.0 3.3V T/R Automotive 28-Pin QFN EP</t>
  </si>
  <si>
    <t>Footprint</t>
  </si>
  <si>
    <t>Cap-0402</t>
  </si>
  <si>
    <t>Cap-0603</t>
  </si>
  <si>
    <t>SMA</t>
  </si>
  <si>
    <t>SOD-123</t>
  </si>
  <si>
    <t>SOD-523</t>
  </si>
  <si>
    <t>U241-041N-1WR85-5</t>
  </si>
  <si>
    <t>NR3015T2R2M</t>
  </si>
  <si>
    <t>LED-0603</t>
  </si>
  <si>
    <t>FUET-5025</t>
  </si>
  <si>
    <t>SOT-23</t>
  </si>
  <si>
    <t>Res-0402</t>
  </si>
  <si>
    <t>Res-0603</t>
  </si>
  <si>
    <t>B3U-1000P</t>
  </si>
  <si>
    <t>38-SMD Module</t>
  </si>
  <si>
    <t>SOT-23-5</t>
  </si>
  <si>
    <t>10-VSON (3x3)</t>
  </si>
  <si>
    <t>28-QFN (5x5)_</t>
  </si>
  <si>
    <t>Manufacturer Part Number</t>
  </si>
  <si>
    <t>C1005X7R1H104KT000F</t>
  </si>
  <si>
    <t>CL10A106MA8NRNC</t>
  </si>
  <si>
    <t>CL05A105KA5NQNC</t>
  </si>
  <si>
    <t>CL10A475KA8NQNC</t>
  </si>
  <si>
    <t>SS24A</t>
  </si>
  <si>
    <t>1N4148W-7-F</t>
  </si>
  <si>
    <t>LESD5D5.0CT1G</t>
  </si>
  <si>
    <t>95501-2661</t>
  </si>
  <si>
    <t>C145963</t>
  </si>
  <si>
    <t>NCD0603G2</t>
  </si>
  <si>
    <t>NCD0603R3</t>
  </si>
  <si>
    <t>1.3 inch OLED</t>
  </si>
  <si>
    <t>MMBT2222A-7-F</t>
  </si>
  <si>
    <t>DMG3415U</t>
  </si>
  <si>
    <t>SS8050-G</t>
  </si>
  <si>
    <t>RC0402FR-074K7L</t>
  </si>
  <si>
    <t>RT0402BRD07100KL</t>
  </si>
  <si>
    <t>CRCW04021K00FKEDHP</t>
  </si>
  <si>
    <t>RC0402FR-076K8L</t>
  </si>
  <si>
    <t>RC0402FR-07470RL</t>
  </si>
  <si>
    <t>RC0402FR-07100RL</t>
  </si>
  <si>
    <t>RC0402FR-0710KL</t>
  </si>
  <si>
    <t>RC0603FR-0722K1L</t>
  </si>
  <si>
    <t>RC0603FR-07220RL</t>
  </si>
  <si>
    <t>RC0603FR-0747K5L</t>
  </si>
  <si>
    <t>ESP32-WROOM-32E-N4</t>
  </si>
  <si>
    <t>MCP73831T-2ACI/OT</t>
  </si>
  <si>
    <t>TPS63001DRCR</t>
  </si>
  <si>
    <t>CP2102N-A02-GQFN28R</t>
  </si>
  <si>
    <t>Manufacturer</t>
  </si>
  <si>
    <t>TDK</t>
  </si>
  <si>
    <t>Samsung</t>
  </si>
  <si>
    <t>Guangdong Hottech</t>
  </si>
  <si>
    <t>Diodes</t>
  </si>
  <si>
    <t>UMW</t>
  </si>
  <si>
    <t>XKB Connection</t>
  </si>
  <si>
    <t>Molex</t>
  </si>
  <si>
    <t>BOOMELE</t>
  </si>
  <si>
    <t>Taiyo Yuden</t>
  </si>
  <si>
    <t>Foshan NationStar Optoelectronics</t>
  </si>
  <si>
    <t>FUET</t>
  </si>
  <si>
    <t>Robolink</t>
  </si>
  <si>
    <t>TECH PUBLIC</t>
  </si>
  <si>
    <t>Jiangsu Changjing Electronics Technology</t>
  </si>
  <si>
    <t>Yageo</t>
  </si>
  <si>
    <t>Vishay Dale</t>
  </si>
  <si>
    <t>Omron</t>
  </si>
  <si>
    <t>Espressif Systems</t>
  </si>
  <si>
    <t>Microchip</t>
  </si>
  <si>
    <t>Texas Instruments</t>
  </si>
  <si>
    <t>Silicon Labs</t>
  </si>
  <si>
    <t>100nF</t>
  </si>
  <si>
    <t>10uF</t>
  </si>
  <si>
    <t>22uF</t>
  </si>
  <si>
    <t>1uF</t>
  </si>
  <si>
    <t>4.7UF</t>
  </si>
  <si>
    <t>2.2uH</t>
  </si>
  <si>
    <t>4.7K</t>
  </si>
  <si>
    <t>100K</t>
  </si>
  <si>
    <t>1K</t>
  </si>
  <si>
    <t>6.8K</t>
  </si>
  <si>
    <t>470R</t>
  </si>
  <si>
    <t>100R</t>
  </si>
  <si>
    <t>10K</t>
  </si>
  <si>
    <t>2K</t>
  </si>
  <si>
    <t>22.1K</t>
  </si>
  <si>
    <t>220R</t>
  </si>
  <si>
    <t>47.5K</t>
  </si>
  <si>
    <t>Quantity</t>
  </si>
  <si>
    <t>Value</t>
  </si>
  <si>
    <t>Remarks</t>
  </si>
  <si>
    <t>-</t>
  </si>
  <si>
    <t>Aliexpress</t>
  </si>
  <si>
    <t>Peripheral</t>
  </si>
  <si>
    <t>Battery</t>
  </si>
  <si>
    <t>701535 3.7V 350mAh Polymer Lithium Rechargeable Battery for Bluetooth Headset Dog Training Device Credit Card Machine Battery</t>
  </si>
  <si>
    <t>Custom</t>
  </si>
  <si>
    <t>GRM158R61A226ME15D</t>
  </si>
  <si>
    <t>Murata Electronics</t>
  </si>
  <si>
    <t>RC0402FR-072KL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</si>
</sst>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1" applyFill="1" applyBorder="1" applyAlignment="1">
      <alignment horizontal="center" vertical="center" wrapText="1"/>
    </xf>
    <xf numFmtId="0" fontId="6" fillId="2" borderId="7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i.aliexpress.com/item/1005007195641354.html?gatewayAdapt=glo2vnm" TargetMode="External"/><Relationship Id="rId1" Type="http://schemas.openxmlformats.org/officeDocument/2006/relationships/hyperlink" Target="https://robolinkmarket.com/13-inch-oled-module-white-color-128x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8"/>
  <sheetViews>
    <sheetView tabSelected="1" workbookViewId="0">
      <selection activeCell="H38" sqref="H3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0.285156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17</v>
      </c>
      <c r="E2" s="6" t="s">
        <v>53</v>
      </c>
      <c r="F2" s="5" t="s">
        <v>89</v>
      </c>
      <c r="G2" s="6" t="s">
        <v>107</v>
      </c>
      <c r="H2" s="5" t="s">
        <v>137</v>
      </c>
      <c r="I2" s="6" t="s">
        <v>177</v>
      </c>
      <c r="J2" s="5" t="s">
        <v>176</v>
      </c>
      <c r="K2" s="5" t="s">
        <v>178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18</v>
      </c>
      <c r="E3" s="8" t="s">
        <v>54</v>
      </c>
      <c r="F3" s="7" t="s">
        <v>90</v>
      </c>
      <c r="G3" s="8" t="s">
        <v>108</v>
      </c>
      <c r="H3" s="7" t="s">
        <v>138</v>
      </c>
      <c r="I3" s="8" t="s">
        <v>159</v>
      </c>
      <c r="J3" s="7">
        <v>5</v>
      </c>
      <c r="K3" s="7"/>
    </row>
    <row r="4" spans="1:11" ht="15.75" thickBot="1" x14ac:dyDescent="0.3">
      <c r="A4" s="1"/>
      <c r="B4" s="11">
        <f t="shared" ref="B4:B36" si="0">ROW(B4) - ROW($B$2)</f>
        <v>2</v>
      </c>
      <c r="C4" s="12" t="s">
        <v>2</v>
      </c>
      <c r="D4" s="9" t="s">
        <v>19</v>
      </c>
      <c r="E4" s="10" t="s">
        <v>55</v>
      </c>
      <c r="F4" s="9" t="s">
        <v>91</v>
      </c>
      <c r="G4" s="10" t="s">
        <v>109</v>
      </c>
      <c r="H4" s="9" t="s">
        <v>139</v>
      </c>
      <c r="I4" s="10" t="s">
        <v>160</v>
      </c>
      <c r="J4" s="9">
        <v>4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20</v>
      </c>
      <c r="E5" s="8" t="s">
        <v>56</v>
      </c>
      <c r="F5" s="7" t="s">
        <v>90</v>
      </c>
      <c r="G5" s="8" t="s">
        <v>185</v>
      </c>
      <c r="H5" s="7" t="s">
        <v>186</v>
      </c>
      <c r="I5" s="8" t="s">
        <v>161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2" t="s">
        <v>2</v>
      </c>
      <c r="D6" s="9" t="s">
        <v>21</v>
      </c>
      <c r="E6" s="10" t="s">
        <v>57</v>
      </c>
      <c r="F6" s="9" t="s">
        <v>90</v>
      </c>
      <c r="G6" s="10" t="s">
        <v>110</v>
      </c>
      <c r="H6" s="9" t="s">
        <v>139</v>
      </c>
      <c r="I6" s="10" t="s">
        <v>162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22</v>
      </c>
      <c r="E7" s="8" t="s">
        <v>58</v>
      </c>
      <c r="F7" s="7" t="s">
        <v>91</v>
      </c>
      <c r="G7" s="8" t="s">
        <v>111</v>
      </c>
      <c r="H7" s="7" t="s">
        <v>139</v>
      </c>
      <c r="I7" s="8" t="s">
        <v>163</v>
      </c>
      <c r="J7" s="7">
        <v>1</v>
      </c>
      <c r="K7" s="7"/>
    </row>
    <row r="8" spans="1:11" ht="24.75" thickBot="1" x14ac:dyDescent="0.3">
      <c r="A8" s="1"/>
      <c r="B8" s="11">
        <f t="shared" si="0"/>
        <v>6</v>
      </c>
      <c r="C8" s="12" t="s">
        <v>3</v>
      </c>
      <c r="D8" s="9" t="s">
        <v>23</v>
      </c>
      <c r="E8" s="10" t="s">
        <v>59</v>
      </c>
      <c r="F8" s="9" t="s">
        <v>92</v>
      </c>
      <c r="G8" s="10" t="s">
        <v>112</v>
      </c>
      <c r="H8" s="9" t="s">
        <v>140</v>
      </c>
      <c r="I8" s="10" t="s">
        <v>179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3</v>
      </c>
      <c r="D9" s="7" t="s">
        <v>24</v>
      </c>
      <c r="E9" s="8" t="s">
        <v>60</v>
      </c>
      <c r="F9" s="7" t="s">
        <v>93</v>
      </c>
      <c r="G9" s="8" t="s">
        <v>113</v>
      </c>
      <c r="H9" s="7" t="s">
        <v>141</v>
      </c>
      <c r="I9" s="10" t="s">
        <v>179</v>
      </c>
      <c r="J9" s="7">
        <v>1</v>
      </c>
      <c r="K9" s="7"/>
    </row>
    <row r="10" spans="1:11" ht="24.75" thickBot="1" x14ac:dyDescent="0.3">
      <c r="A10" s="1"/>
      <c r="B10" s="11">
        <f t="shared" si="0"/>
        <v>8</v>
      </c>
      <c r="C10" s="13" t="s">
        <v>4</v>
      </c>
      <c r="D10" s="9" t="s">
        <v>25</v>
      </c>
      <c r="E10" s="10" t="s">
        <v>61</v>
      </c>
      <c r="F10" s="9" t="s">
        <v>94</v>
      </c>
      <c r="G10" s="10" t="s">
        <v>114</v>
      </c>
      <c r="H10" s="9" t="s">
        <v>142</v>
      </c>
      <c r="I10" s="10" t="s">
        <v>179</v>
      </c>
      <c r="J10" s="9">
        <v>2</v>
      </c>
      <c r="K10" s="9"/>
    </row>
    <row r="11" spans="1:11" ht="36.75" thickBot="1" x14ac:dyDescent="0.3">
      <c r="A11" s="1"/>
      <c r="B11" s="11">
        <f>ROW(B11) - ROW($B$2)</f>
        <v>9</v>
      </c>
      <c r="C11" s="12" t="s">
        <v>5</v>
      </c>
      <c r="D11" s="7" t="s">
        <v>26</v>
      </c>
      <c r="E11" s="8" t="s">
        <v>62</v>
      </c>
      <c r="F11" s="7" t="s">
        <v>184</v>
      </c>
      <c r="G11" s="8" t="s">
        <v>95</v>
      </c>
      <c r="H11" s="7" t="s">
        <v>143</v>
      </c>
      <c r="I11" s="10" t="s">
        <v>179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6</v>
      </c>
      <c r="D12" s="9" t="s">
        <v>27</v>
      </c>
      <c r="E12" s="10" t="s">
        <v>63</v>
      </c>
      <c r="F12" s="7" t="s">
        <v>184</v>
      </c>
      <c r="G12" s="10" t="s">
        <v>115</v>
      </c>
      <c r="H12" s="9" t="s">
        <v>144</v>
      </c>
      <c r="I12" s="10" t="s">
        <v>179</v>
      </c>
      <c r="J12" s="9">
        <v>1</v>
      </c>
      <c r="K12" s="9"/>
    </row>
    <row r="13" spans="1:11" ht="36.75" thickBot="1" x14ac:dyDescent="0.3">
      <c r="A13" s="1"/>
      <c r="B13" s="11">
        <f>ROW(B13) - ROW($B$2)</f>
        <v>11</v>
      </c>
      <c r="C13" s="12" t="s">
        <v>7</v>
      </c>
      <c r="D13" s="7" t="s">
        <v>28</v>
      </c>
      <c r="E13" s="8" t="s">
        <v>64</v>
      </c>
      <c r="F13" s="7" t="s">
        <v>184</v>
      </c>
      <c r="G13" s="8" t="s">
        <v>116</v>
      </c>
      <c r="H13" s="7" t="s">
        <v>145</v>
      </c>
      <c r="I13" s="10" t="s">
        <v>179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8</v>
      </c>
      <c r="D14" s="9" t="s">
        <v>29</v>
      </c>
      <c r="E14" s="10" t="s">
        <v>65</v>
      </c>
      <c r="F14" s="7" t="s">
        <v>184</v>
      </c>
      <c r="G14" s="10" t="s">
        <v>96</v>
      </c>
      <c r="H14" s="9" t="s">
        <v>146</v>
      </c>
      <c r="I14" s="10" t="s">
        <v>164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9</v>
      </c>
      <c r="D15" s="7" t="s">
        <v>30</v>
      </c>
      <c r="E15" s="8" t="s">
        <v>66</v>
      </c>
      <c r="F15" s="7" t="s">
        <v>97</v>
      </c>
      <c r="G15" s="8" t="s">
        <v>117</v>
      </c>
      <c r="H15" s="7" t="s">
        <v>147</v>
      </c>
      <c r="I15" s="8" t="s">
        <v>179</v>
      </c>
      <c r="J15" s="7">
        <v>1</v>
      </c>
      <c r="K15" s="7"/>
    </row>
    <row r="16" spans="1:11" ht="24.75" thickBot="1" x14ac:dyDescent="0.3">
      <c r="A16" s="1"/>
      <c r="B16" s="11">
        <f t="shared" si="0"/>
        <v>14</v>
      </c>
      <c r="C16" s="13" t="s">
        <v>9</v>
      </c>
      <c r="D16" s="9" t="s">
        <v>31</v>
      </c>
      <c r="E16" s="10" t="s">
        <v>67</v>
      </c>
      <c r="F16" s="9" t="s">
        <v>97</v>
      </c>
      <c r="G16" s="10" t="s">
        <v>118</v>
      </c>
      <c r="H16" s="9" t="s">
        <v>147</v>
      </c>
      <c r="I16" s="8" t="s">
        <v>179</v>
      </c>
      <c r="J16" s="9">
        <v>2</v>
      </c>
      <c r="K16" s="9"/>
    </row>
    <row r="17" spans="1:11" ht="36.75" thickBot="1" x14ac:dyDescent="0.3">
      <c r="A17" s="1"/>
      <c r="B17" s="11">
        <f>ROW(B17) - ROW($B$2)</f>
        <v>15</v>
      </c>
      <c r="C17" s="12" t="s">
        <v>10</v>
      </c>
      <c r="D17" s="7" t="s">
        <v>32</v>
      </c>
      <c r="E17" s="8" t="s">
        <v>68</v>
      </c>
      <c r="F17" s="7" t="s">
        <v>184</v>
      </c>
      <c r="G17" s="8" t="s">
        <v>98</v>
      </c>
      <c r="H17" s="7" t="s">
        <v>148</v>
      </c>
      <c r="I17" s="8" t="s">
        <v>179</v>
      </c>
      <c r="J17" s="7">
        <v>1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11</v>
      </c>
      <c r="D18" s="9" t="s">
        <v>33</v>
      </c>
      <c r="E18" s="10" t="s">
        <v>69</v>
      </c>
      <c r="F18" s="7" t="s">
        <v>184</v>
      </c>
      <c r="G18" s="10" t="s">
        <v>119</v>
      </c>
      <c r="H18" s="9" t="s">
        <v>149</v>
      </c>
      <c r="I18" s="8" t="s">
        <v>179</v>
      </c>
      <c r="J18" s="9">
        <v>1</v>
      </c>
      <c r="K18" s="15" t="s">
        <v>149</v>
      </c>
    </row>
    <row r="19" spans="1:11" ht="15.75" thickBot="1" x14ac:dyDescent="0.3">
      <c r="A19" s="1"/>
      <c r="B19" s="11">
        <f>ROW(B19) - ROW($B$2)</f>
        <v>17</v>
      </c>
      <c r="C19" s="12" t="s">
        <v>12</v>
      </c>
      <c r="D19" s="7" t="s">
        <v>34</v>
      </c>
      <c r="E19" s="8" t="s">
        <v>70</v>
      </c>
      <c r="F19" s="7" t="s">
        <v>99</v>
      </c>
      <c r="G19" s="8" t="s">
        <v>120</v>
      </c>
      <c r="H19" s="7" t="s">
        <v>141</v>
      </c>
      <c r="I19" s="8" t="s">
        <v>179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13</v>
      </c>
      <c r="D20" s="9" t="s">
        <v>35</v>
      </c>
      <c r="E20" s="10" t="s">
        <v>71</v>
      </c>
      <c r="F20" s="9" t="s">
        <v>99</v>
      </c>
      <c r="G20" s="10" t="s">
        <v>121</v>
      </c>
      <c r="H20" s="9" t="s">
        <v>150</v>
      </c>
      <c r="I20" s="8" t="s">
        <v>179</v>
      </c>
      <c r="J20" s="9">
        <v>1</v>
      </c>
      <c r="K20" s="9"/>
    </row>
    <row r="21" spans="1:11" ht="36.75" thickBot="1" x14ac:dyDescent="0.3">
      <c r="A21" s="1"/>
      <c r="B21" s="11">
        <f>ROW(B21) - ROW($B$2)</f>
        <v>19</v>
      </c>
      <c r="C21" s="13" t="s">
        <v>13</v>
      </c>
      <c r="D21" s="7" t="s">
        <v>36</v>
      </c>
      <c r="E21" s="8" t="s">
        <v>72</v>
      </c>
      <c r="F21" s="7" t="s">
        <v>99</v>
      </c>
      <c r="G21" s="8" t="s">
        <v>122</v>
      </c>
      <c r="H21" s="7" t="s">
        <v>151</v>
      </c>
      <c r="I21" s="8" t="s">
        <v>179</v>
      </c>
      <c r="J21" s="7">
        <v>2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14</v>
      </c>
      <c r="D22" s="9" t="s">
        <v>37</v>
      </c>
      <c r="E22" s="10" t="s">
        <v>73</v>
      </c>
      <c r="F22" s="9" t="s">
        <v>100</v>
      </c>
      <c r="G22" s="10" t="s">
        <v>123</v>
      </c>
      <c r="H22" s="9" t="s">
        <v>152</v>
      </c>
      <c r="I22" s="10" t="s">
        <v>165</v>
      </c>
      <c r="J22" s="9">
        <v>4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14</v>
      </c>
      <c r="D23" s="7" t="s">
        <v>38</v>
      </c>
      <c r="E23" s="8" t="s">
        <v>74</v>
      </c>
      <c r="F23" s="7" t="s">
        <v>100</v>
      </c>
      <c r="G23" s="8" t="s">
        <v>124</v>
      </c>
      <c r="H23" s="7" t="s">
        <v>152</v>
      </c>
      <c r="I23" s="8" t="s">
        <v>166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2" t="s">
        <v>14</v>
      </c>
      <c r="D24" s="9" t="s">
        <v>39</v>
      </c>
      <c r="E24" s="10" t="s">
        <v>75</v>
      </c>
      <c r="F24" s="9" t="s">
        <v>100</v>
      </c>
      <c r="G24" s="10" t="s">
        <v>125</v>
      </c>
      <c r="H24" s="9" t="s">
        <v>153</v>
      </c>
      <c r="I24" s="10" t="s">
        <v>167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14</v>
      </c>
      <c r="D25" s="7" t="s">
        <v>40</v>
      </c>
      <c r="E25" s="8" t="s">
        <v>76</v>
      </c>
      <c r="F25" s="7" t="s">
        <v>100</v>
      </c>
      <c r="G25" s="8" t="s">
        <v>126</v>
      </c>
      <c r="H25" s="7" t="s">
        <v>152</v>
      </c>
      <c r="I25" s="8" t="s">
        <v>168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14</v>
      </c>
      <c r="D26" s="9" t="s">
        <v>41</v>
      </c>
      <c r="E26" s="10" t="s">
        <v>77</v>
      </c>
      <c r="F26" s="9" t="s">
        <v>100</v>
      </c>
      <c r="G26" s="10" t="s">
        <v>127</v>
      </c>
      <c r="H26" s="9" t="s">
        <v>152</v>
      </c>
      <c r="I26" s="10" t="s">
        <v>169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14</v>
      </c>
      <c r="D27" s="7" t="s">
        <v>42</v>
      </c>
      <c r="E27" s="8" t="s">
        <v>78</v>
      </c>
      <c r="F27" s="7" t="s">
        <v>100</v>
      </c>
      <c r="G27" s="8" t="s">
        <v>128</v>
      </c>
      <c r="H27" s="7" t="s">
        <v>152</v>
      </c>
      <c r="I27" s="8" t="s">
        <v>170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14</v>
      </c>
      <c r="D28" s="9" t="s">
        <v>43</v>
      </c>
      <c r="E28" s="10" t="s">
        <v>79</v>
      </c>
      <c r="F28" s="9" t="s">
        <v>100</v>
      </c>
      <c r="G28" s="10" t="s">
        <v>129</v>
      </c>
      <c r="H28" s="9" t="s">
        <v>152</v>
      </c>
      <c r="I28" s="10" t="s">
        <v>171</v>
      </c>
      <c r="J28" s="9">
        <v>3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14</v>
      </c>
      <c r="D29" s="7" t="s">
        <v>44</v>
      </c>
      <c r="E29" s="8" t="s">
        <v>80</v>
      </c>
      <c r="F29" s="7" t="s">
        <v>100</v>
      </c>
      <c r="G29" s="8" t="s">
        <v>187</v>
      </c>
      <c r="H29" s="9" t="s">
        <v>152</v>
      </c>
      <c r="I29" s="8" t="s">
        <v>172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14</v>
      </c>
      <c r="D30" s="9" t="s">
        <v>45</v>
      </c>
      <c r="E30" s="10" t="s">
        <v>81</v>
      </c>
      <c r="F30" s="9" t="s">
        <v>101</v>
      </c>
      <c r="G30" s="10" t="s">
        <v>130</v>
      </c>
      <c r="H30" s="9" t="s">
        <v>152</v>
      </c>
      <c r="I30" s="10" t="s">
        <v>173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14</v>
      </c>
      <c r="D31" s="7" t="s">
        <v>46</v>
      </c>
      <c r="E31" s="8" t="s">
        <v>82</v>
      </c>
      <c r="F31" s="7" t="s">
        <v>101</v>
      </c>
      <c r="G31" s="8" t="s">
        <v>131</v>
      </c>
      <c r="H31" s="7" t="s">
        <v>152</v>
      </c>
      <c r="I31" s="8" t="s">
        <v>174</v>
      </c>
      <c r="J31" s="7">
        <v>2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14</v>
      </c>
      <c r="D32" s="9" t="s">
        <v>47</v>
      </c>
      <c r="E32" s="10" t="s">
        <v>83</v>
      </c>
      <c r="F32" s="9" t="s">
        <v>101</v>
      </c>
      <c r="G32" s="10" t="s">
        <v>132</v>
      </c>
      <c r="H32" s="9" t="s">
        <v>152</v>
      </c>
      <c r="I32" s="10" t="s">
        <v>175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15</v>
      </c>
      <c r="D33" s="7" t="s">
        <v>48</v>
      </c>
      <c r="E33" s="8" t="s">
        <v>84</v>
      </c>
      <c r="F33" s="7" t="s">
        <v>184</v>
      </c>
      <c r="G33" s="8" t="s">
        <v>102</v>
      </c>
      <c r="H33" s="7" t="s">
        <v>154</v>
      </c>
      <c r="I33" s="8" t="s">
        <v>179</v>
      </c>
      <c r="J33" s="7">
        <v>2</v>
      </c>
      <c r="K33" s="7"/>
    </row>
    <row r="34" spans="1:11" ht="15.75" thickBot="1" x14ac:dyDescent="0.3">
      <c r="A34" s="1"/>
      <c r="B34" s="11">
        <f t="shared" si="0"/>
        <v>32</v>
      </c>
      <c r="C34" s="12" t="s">
        <v>16</v>
      </c>
      <c r="D34" s="9" t="s">
        <v>49</v>
      </c>
      <c r="E34" s="10" t="s">
        <v>85</v>
      </c>
      <c r="F34" s="9" t="s">
        <v>103</v>
      </c>
      <c r="G34" s="10" t="s">
        <v>133</v>
      </c>
      <c r="H34" s="9" t="s">
        <v>155</v>
      </c>
      <c r="I34" s="8" t="s">
        <v>179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16</v>
      </c>
      <c r="D35" s="7" t="s">
        <v>50</v>
      </c>
      <c r="E35" s="8" t="s">
        <v>86</v>
      </c>
      <c r="F35" s="7" t="s">
        <v>104</v>
      </c>
      <c r="G35" s="8" t="s">
        <v>134</v>
      </c>
      <c r="H35" s="7" t="s">
        <v>156</v>
      </c>
      <c r="I35" s="8" t="s">
        <v>179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16</v>
      </c>
      <c r="D36" s="9" t="s">
        <v>51</v>
      </c>
      <c r="E36" s="10" t="s">
        <v>87</v>
      </c>
      <c r="F36" s="9" t="s">
        <v>105</v>
      </c>
      <c r="G36" s="10" t="s">
        <v>135</v>
      </c>
      <c r="H36" s="9" t="s">
        <v>157</v>
      </c>
      <c r="I36" s="8" t="s">
        <v>179</v>
      </c>
      <c r="J36" s="9">
        <v>1</v>
      </c>
      <c r="K36" s="9"/>
    </row>
    <row r="37" spans="1:11" ht="36.75" thickBot="1" x14ac:dyDescent="0.3">
      <c r="A37" s="1"/>
      <c r="B37" s="11">
        <f>ROW(B37) - ROW($B$2)</f>
        <v>35</v>
      </c>
      <c r="C37" s="13" t="s">
        <v>16</v>
      </c>
      <c r="D37" s="7" t="s">
        <v>52</v>
      </c>
      <c r="E37" s="8" t="s">
        <v>88</v>
      </c>
      <c r="F37" s="7" t="s">
        <v>106</v>
      </c>
      <c r="G37" s="8" t="s">
        <v>136</v>
      </c>
      <c r="H37" s="7" t="s">
        <v>158</v>
      </c>
      <c r="I37" s="8" t="s">
        <v>179</v>
      </c>
      <c r="J37" s="7">
        <v>1</v>
      </c>
      <c r="K37" s="7"/>
    </row>
    <row r="38" spans="1:11" ht="48.75" thickBot="1" x14ac:dyDescent="0.3">
      <c r="B38" s="11">
        <f>ROW(B38) - ROW($B$2)</f>
        <v>36</v>
      </c>
      <c r="C38" s="13" t="s">
        <v>181</v>
      </c>
      <c r="D38" s="9" t="s">
        <v>182</v>
      </c>
      <c r="E38" s="10" t="s">
        <v>183</v>
      </c>
      <c r="F38" s="9" t="s">
        <v>179</v>
      </c>
      <c r="G38" s="9" t="s">
        <v>182</v>
      </c>
      <c r="H38" s="9" t="s">
        <v>179</v>
      </c>
      <c r="I38" s="10" t="s">
        <v>179</v>
      </c>
      <c r="J38" s="9">
        <v>1</v>
      </c>
      <c r="K38" s="16" t="s">
        <v>180</v>
      </c>
    </row>
  </sheetData>
  <mergeCells count="1">
    <mergeCell ref="I1:K1"/>
  </mergeCells>
  <hyperlinks>
    <hyperlink ref="K18" r:id="rId1"/>
    <hyperlink ref="K38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2025-04-08T09:44:35Z</dcterms:modified>
</cp:coreProperties>
</file>