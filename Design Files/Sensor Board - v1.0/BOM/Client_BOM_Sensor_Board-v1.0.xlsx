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idvanbozkir-espboard\Design Files\Sensor Board -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<sst xmlns="http://schemas.openxmlformats.org/spreadsheetml/2006/main" count="168" uniqueCount="123">
  <si>
    <t>#</t>
  </si>
  <si>
    <t>Item Type</t>
  </si>
  <si>
    <t>Capacitor</t>
  </si>
  <si>
    <t>Battery Connector</t>
  </si>
  <si>
    <t>Pogo Connector</t>
  </si>
  <si>
    <t>UFL Connector</t>
  </si>
  <si>
    <t>Inductor</t>
  </si>
  <si>
    <t>Inductors</t>
  </si>
  <si>
    <t>Resistors</t>
  </si>
  <si>
    <t>IC</t>
  </si>
  <si>
    <t>Crystal</t>
  </si>
  <si>
    <t>Crystals</t>
  </si>
  <si>
    <t>Designator</t>
  </si>
  <si>
    <t>C1</t>
  </si>
  <si>
    <t>C2</t>
  </si>
  <si>
    <t>C3, C6, C14, C15</t>
  </si>
  <si>
    <t>C4, C7</t>
  </si>
  <si>
    <t>C5, C9</t>
  </si>
  <si>
    <t>C8</t>
  </si>
  <si>
    <t>C10, C12</t>
  </si>
  <si>
    <t>C11</t>
  </si>
  <si>
    <t>C13</t>
  </si>
  <si>
    <t>J1</t>
  </si>
  <si>
    <t>J2</t>
  </si>
  <si>
    <t>J3</t>
  </si>
  <si>
    <t>L1</t>
  </si>
  <si>
    <t>L2</t>
  </si>
  <si>
    <t>L3</t>
  </si>
  <si>
    <t>R1, R2</t>
  </si>
  <si>
    <t>R3</t>
  </si>
  <si>
    <t>R4</t>
  </si>
  <si>
    <t>U1</t>
  </si>
  <si>
    <t>U2</t>
  </si>
  <si>
    <t>X1</t>
  </si>
  <si>
    <t>X2</t>
  </si>
  <si>
    <t>Description</t>
  </si>
  <si>
    <t>CAP CER 1UF 25V X5R 0402</t>
  </si>
  <si>
    <t>CAP CER 4.7UF 25V X5R 0603</t>
  </si>
  <si>
    <t>CAP CER 0.1UF 50V X7R 0402</t>
  </si>
  <si>
    <t>CAP CER 12PF 50V C0G/NP0 0402</t>
  </si>
  <si>
    <t>50V 9pF C0G 0402 Multilayer Ceramic Capacitors MLCC - SMD/SMT ROHS</t>
  </si>
  <si>
    <t>CAP CER 100PF 50V C0G/NPO 0402</t>
  </si>
  <si>
    <t>CAP CER 0.8PF 50V C0G/NPO 0402</t>
  </si>
  <si>
    <t>CAP CER 1.2PF 50V C0G/NPO 0402</t>
  </si>
  <si>
    <t>Battery clip Nickel -25℃~+85℃ Phosphor Bronze CR2477 SMD Button And Strip Battery Connector ROHS</t>
  </si>
  <si>
    <t>Pogo Pad 2.5mm 4 Pin</t>
  </si>
  <si>
    <t>CONN U.FL RCPT STR 50 OHM SMD</t>
  </si>
  <si>
    <t>FIXED IND 15NH 400MA 0.45OHM SMD</t>
  </si>
  <si>
    <t>FIXED IND 10UH 80MA 360 MOHM SMD</t>
  </si>
  <si>
    <t>FIXED IND 3.9NH 350MA 350MOHM SM</t>
  </si>
  <si>
    <t>RES SMD 2.2K OHM 1% 1/16W 0402</t>
  </si>
  <si>
    <t>RES 0 OHM JUMPER 1/16W 0402</t>
  </si>
  <si>
    <t>IC RF TXRX+MCU BLE 32QFN</t>
  </si>
  <si>
    <t>SHTC3 Series Digital ±2% RH SMT Humidity Temperature Sensor - DFN-8</t>
  </si>
  <si>
    <t>CRYSTAL 32.0000MHZ 8PF SMD</t>
  </si>
  <si>
    <t>32.768kHz 7pF ±20ppm MC-146 Crystals ROHS</t>
  </si>
  <si>
    <t>Footprint</t>
  </si>
  <si>
    <t>Cap-0402</t>
  </si>
  <si>
    <t>Cap-0603</t>
  </si>
  <si>
    <t>cap-0402</t>
  </si>
  <si>
    <t>MY-2477-02</t>
  </si>
  <si>
    <t>Pogo 4 Pin</t>
  </si>
  <si>
    <t>IND-0402</t>
  </si>
  <si>
    <t>IND-0603 (1608 Metric)</t>
  </si>
  <si>
    <t>IND-0201</t>
  </si>
  <si>
    <t>Res-0402</t>
  </si>
  <si>
    <t>32-QFN (5x5)</t>
  </si>
  <si>
    <t>4-WDFN Exposed Pad</t>
  </si>
  <si>
    <t>SMD2016-4P</t>
  </si>
  <si>
    <t>MC-146_</t>
  </si>
  <si>
    <t>Manufacturer Part Number</t>
  </si>
  <si>
    <t>CL05A105KA5NQNC</t>
  </si>
  <si>
    <t>CL10A475KA8NQNC</t>
  </si>
  <si>
    <t>C1005X7R1H104KT000F</t>
  </si>
  <si>
    <t>GJM1555C1H120GB01D</t>
  </si>
  <si>
    <t>0402CG9R0C500NT</t>
  </si>
  <si>
    <t>CC0402JRNPO9BN101</t>
  </si>
  <si>
    <t>CC0402BRNPO9BNR80</t>
  </si>
  <si>
    <t>CC0402BRNPO9BN1R2</t>
  </si>
  <si>
    <t>POGO Connector 4 Pin</t>
  </si>
  <si>
    <t>U.FL-R-SMT-1(80)</t>
  </si>
  <si>
    <t>LQG15HN15NJ02D</t>
  </si>
  <si>
    <t>LBMF1608T100K</t>
  </si>
  <si>
    <t>LQP03TG3N9B02D</t>
  </si>
  <si>
    <t>RC0402FR-072K2L</t>
  </si>
  <si>
    <t>RC0402FR-070RL</t>
  </si>
  <si>
    <t>NRF52810-QCAA-R</t>
  </si>
  <si>
    <t>SHTC3-TR-2.5KS</t>
  </si>
  <si>
    <t>Q22FA12800025</t>
  </si>
  <si>
    <t>Q13MC14620001</t>
  </si>
  <si>
    <t>Manufacturer</t>
  </si>
  <si>
    <t>Samsung</t>
  </si>
  <si>
    <t>TDK</t>
  </si>
  <si>
    <t>Murata</t>
  </si>
  <si>
    <t>FH (Guangdong Fenghua Advanced Tech)</t>
  </si>
  <si>
    <t>Yageo</t>
  </si>
  <si>
    <t>MYOUNG</t>
  </si>
  <si>
    <t>Hirose</t>
  </si>
  <si>
    <t>Taiyo Yuden</t>
  </si>
  <si>
    <t>Nordic Semiconductor</t>
  </si>
  <si>
    <t>Sensirion</t>
  </si>
  <si>
    <t>Epson</t>
  </si>
  <si>
    <t>Seiko Epson</t>
  </si>
  <si>
    <t>1uF</t>
  </si>
  <si>
    <t>4.7UF</t>
  </si>
  <si>
    <t>100nF</t>
  </si>
  <si>
    <t>12pF</t>
  </si>
  <si>
    <t>DNP</t>
  </si>
  <si>
    <t>100pF</t>
  </si>
  <si>
    <t>0.8pF</t>
  </si>
  <si>
    <t>1.2pF</t>
  </si>
  <si>
    <t>15nH</t>
  </si>
  <si>
    <t>10uH</t>
  </si>
  <si>
    <t>3.9nH</t>
  </si>
  <si>
    <t>2.2K</t>
  </si>
  <si>
    <t>0R</t>
  </si>
  <si>
    <t>32MHz</t>
  </si>
  <si>
    <t>Quantity</t>
  </si>
  <si>
    <t>Remarks</t>
  </si>
  <si>
    <t>Value</t>
  </si>
  <si>
    <t>DO NOT PLACE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</si>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</sst>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4"/>
  <sheetViews>
    <sheetView tabSelected="1" workbookViewId="0">
      <selection activeCell="P21" sqref="P2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2.140625" bestFit="1" customWidth="1"/>
    <col min="5" max="5" width="30" customWidth="1"/>
    <col min="6" max="6" width="18.42578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35</v>
      </c>
      <c r="F2" s="5" t="s">
        <v>56</v>
      </c>
      <c r="G2" s="6" t="s">
        <v>70</v>
      </c>
      <c r="H2" s="5" t="s">
        <v>90</v>
      </c>
      <c r="I2" s="6" t="s">
        <v>119</v>
      </c>
      <c r="J2" s="5" t="s">
        <v>117</v>
      </c>
      <c r="K2" s="5" t="s">
        <v>118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13</v>
      </c>
      <c r="E3" s="8" t="s">
        <v>36</v>
      </c>
      <c r="F3" s="7" t="s">
        <v>57</v>
      </c>
      <c r="G3" s="8" t="s">
        <v>71</v>
      </c>
      <c r="H3" s="7" t="s">
        <v>91</v>
      </c>
      <c r="I3" s="8" t="s">
        <v>103</v>
      </c>
      <c r="J3" s="7">
        <v>1</v>
      </c>
      <c r="K3" s="7"/>
    </row>
    <row r="4" spans="1:11" ht="15.75" thickBot="1" x14ac:dyDescent="0.3">
      <c r="A4" s="1"/>
      <c r="B4" s="11">
        <f t="shared" ref="B4:B24" si="0">ROW(B4) - ROW($B$2)</f>
        <v>2</v>
      </c>
      <c r="C4" s="12" t="s">
        <v>2</v>
      </c>
      <c r="D4" s="9" t="s">
        <v>14</v>
      </c>
      <c r="E4" s="10" t="s">
        <v>37</v>
      </c>
      <c r="F4" s="9" t="s">
        <v>58</v>
      </c>
      <c r="G4" s="10" t="s">
        <v>72</v>
      </c>
      <c r="H4" s="9" t="s">
        <v>91</v>
      </c>
      <c r="I4" s="10" t="s">
        <v>104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15</v>
      </c>
      <c r="E5" s="8" t="s">
        <v>38</v>
      </c>
      <c r="F5" s="7" t="s">
        <v>59</v>
      </c>
      <c r="G5" s="8" t="s">
        <v>73</v>
      </c>
      <c r="H5" s="7" t="s">
        <v>92</v>
      </c>
      <c r="I5" s="8" t="s">
        <v>105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2" t="s">
        <v>2</v>
      </c>
      <c r="D6" s="9" t="s">
        <v>16</v>
      </c>
      <c r="E6" s="10" t="s">
        <v>39</v>
      </c>
      <c r="F6" s="9" t="s">
        <v>57</v>
      </c>
      <c r="G6" s="10" t="s">
        <v>74</v>
      </c>
      <c r="H6" s="9" t="s">
        <v>93</v>
      </c>
      <c r="I6" s="10" t="s">
        <v>106</v>
      </c>
      <c r="J6" s="9">
        <v>2</v>
      </c>
      <c r="K6" s="9"/>
    </row>
    <row r="7" spans="1:11" ht="24.75" thickBot="1" x14ac:dyDescent="0.3">
      <c r="A7" s="1"/>
      <c r="B7" s="11">
        <f>ROW(B7) - ROW($B$2)</f>
        <v>5</v>
      </c>
      <c r="C7" s="12" t="s">
        <v>2</v>
      </c>
      <c r="D7" s="15" t="s">
        <v>17</v>
      </c>
      <c r="E7" s="16" t="s">
        <v>40</v>
      </c>
      <c r="F7" s="15" t="s">
        <v>57</v>
      </c>
      <c r="G7" s="16" t="s">
        <v>75</v>
      </c>
      <c r="H7" s="15" t="s">
        <v>94</v>
      </c>
      <c r="I7" s="16" t="s">
        <v>107</v>
      </c>
      <c r="J7" s="15">
        <v>2</v>
      </c>
      <c r="K7" s="17" t="s">
        <v>120</v>
      </c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18</v>
      </c>
      <c r="E8" s="10" t="s">
        <v>41</v>
      </c>
      <c r="F8" s="9" t="s">
        <v>57</v>
      </c>
      <c r="G8" s="10" t="s">
        <v>76</v>
      </c>
      <c r="H8" s="9" t="s">
        <v>95</v>
      </c>
      <c r="I8" s="10" t="s">
        <v>108</v>
      </c>
      <c r="J8" s="9">
        <v>1</v>
      </c>
      <c r="K8" s="9"/>
    </row>
    <row r="9" spans="1:11" ht="24.75" thickBot="1" x14ac:dyDescent="0.3">
      <c r="A9" s="1"/>
      <c r="B9" s="11">
        <f>ROW(B9) - ROW($B$2)</f>
        <v>7</v>
      </c>
      <c r="C9" s="12" t="s">
        <v>2</v>
      </c>
      <c r="D9" s="15" t="s">
        <v>19</v>
      </c>
      <c r="E9" s="16" t="s">
        <v>38</v>
      </c>
      <c r="F9" s="15" t="s">
        <v>59</v>
      </c>
      <c r="G9" s="16" t="s">
        <v>73</v>
      </c>
      <c r="H9" s="15" t="s">
        <v>92</v>
      </c>
      <c r="I9" s="16" t="s">
        <v>107</v>
      </c>
      <c r="J9" s="15">
        <v>2</v>
      </c>
      <c r="K9" s="17" t="s">
        <v>120</v>
      </c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20</v>
      </c>
      <c r="E10" s="10" t="s">
        <v>42</v>
      </c>
      <c r="F10" s="9" t="s">
        <v>57</v>
      </c>
      <c r="G10" s="10" t="s">
        <v>77</v>
      </c>
      <c r="H10" s="9" t="s">
        <v>95</v>
      </c>
      <c r="I10" s="10" t="s">
        <v>109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</v>
      </c>
      <c r="D11" s="7" t="s">
        <v>21</v>
      </c>
      <c r="E11" s="8" t="s">
        <v>43</v>
      </c>
      <c r="F11" s="7" t="s">
        <v>57</v>
      </c>
      <c r="G11" s="8" t="s">
        <v>78</v>
      </c>
      <c r="H11" s="7" t="s">
        <v>95</v>
      </c>
      <c r="I11" s="8" t="s">
        <v>110</v>
      </c>
      <c r="J11" s="7">
        <v>1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3</v>
      </c>
      <c r="D12" s="9" t="s">
        <v>22</v>
      </c>
      <c r="E12" s="10" t="s">
        <v>44</v>
      </c>
      <c r="F12" s="9" t="s">
        <v>60</v>
      </c>
      <c r="G12" s="10" t="s">
        <v>60</v>
      </c>
      <c r="H12" s="9" t="s">
        <v>96</v>
      </c>
      <c r="I12" s="10"/>
      <c r="J12" s="9">
        <v>1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4</v>
      </c>
      <c r="D13" s="15" t="s">
        <v>23</v>
      </c>
      <c r="E13" s="16" t="s">
        <v>45</v>
      </c>
      <c r="F13" s="15" t="s">
        <v>61</v>
      </c>
      <c r="G13" s="16" t="s">
        <v>79</v>
      </c>
      <c r="H13" s="15" t="s">
        <v>121</v>
      </c>
      <c r="I13" s="16" t="s">
        <v>121</v>
      </c>
      <c r="J13" s="15">
        <v>1</v>
      </c>
      <c r="K13" s="17" t="s">
        <v>120</v>
      </c>
    </row>
    <row r="14" spans="1:11" ht="15.75" thickBot="1" x14ac:dyDescent="0.3">
      <c r="A14" s="1"/>
      <c r="B14" s="11">
        <f t="shared" si="0"/>
        <v>12</v>
      </c>
      <c r="C14" s="13" t="s">
        <v>5</v>
      </c>
      <c r="D14" s="9" t="s">
        <v>24</v>
      </c>
      <c r="E14" s="10" t="s">
        <v>46</v>
      </c>
      <c r="F14" s="9" t="s">
        <v>122</v>
      </c>
      <c r="G14" s="10" t="s">
        <v>80</v>
      </c>
      <c r="H14" s="9" t="s">
        <v>97</v>
      </c>
      <c r="I14" s="10" t="s">
        <v>121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6</v>
      </c>
      <c r="D15" s="7" t="s">
        <v>25</v>
      </c>
      <c r="E15" s="8" t="s">
        <v>47</v>
      </c>
      <c r="F15" s="7" t="s">
        <v>62</v>
      </c>
      <c r="G15" s="8" t="s">
        <v>81</v>
      </c>
      <c r="H15" s="7" t="s">
        <v>93</v>
      </c>
      <c r="I15" s="8" t="s">
        <v>111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7</v>
      </c>
      <c r="D16" s="9" t="s">
        <v>26</v>
      </c>
      <c r="E16" s="10" t="s">
        <v>48</v>
      </c>
      <c r="F16" s="9" t="s">
        <v>63</v>
      </c>
      <c r="G16" s="10" t="s">
        <v>82</v>
      </c>
      <c r="H16" s="9" t="s">
        <v>98</v>
      </c>
      <c r="I16" s="10" t="s">
        <v>112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7</v>
      </c>
      <c r="D17" s="7" t="s">
        <v>27</v>
      </c>
      <c r="E17" s="8" t="s">
        <v>49</v>
      </c>
      <c r="F17" s="7" t="s">
        <v>64</v>
      </c>
      <c r="G17" s="8" t="s">
        <v>83</v>
      </c>
      <c r="H17" s="7" t="s">
        <v>93</v>
      </c>
      <c r="I17" s="8" t="s">
        <v>113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8</v>
      </c>
      <c r="D18" s="9" t="s">
        <v>28</v>
      </c>
      <c r="E18" s="10" t="s">
        <v>50</v>
      </c>
      <c r="F18" s="9" t="s">
        <v>65</v>
      </c>
      <c r="G18" s="10" t="s">
        <v>84</v>
      </c>
      <c r="H18" s="9" t="s">
        <v>95</v>
      </c>
      <c r="I18" s="10" t="s">
        <v>114</v>
      </c>
      <c r="J18" s="9">
        <v>2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8</v>
      </c>
      <c r="D19" s="15" t="s">
        <v>29</v>
      </c>
      <c r="E19" s="16" t="s">
        <v>51</v>
      </c>
      <c r="F19" s="15" t="s">
        <v>65</v>
      </c>
      <c r="G19" s="16" t="s">
        <v>85</v>
      </c>
      <c r="H19" s="15" t="s">
        <v>95</v>
      </c>
      <c r="I19" s="16" t="s">
        <v>107</v>
      </c>
      <c r="J19" s="15">
        <v>1</v>
      </c>
      <c r="K19" s="17" t="s">
        <v>120</v>
      </c>
    </row>
    <row r="20" spans="1:11" ht="15.75" thickBot="1" x14ac:dyDescent="0.3">
      <c r="A20" s="1"/>
      <c r="B20" s="11">
        <f t="shared" si="0"/>
        <v>18</v>
      </c>
      <c r="C20" s="13" t="s">
        <v>8</v>
      </c>
      <c r="D20" s="9" t="s">
        <v>30</v>
      </c>
      <c r="E20" s="10" t="s">
        <v>51</v>
      </c>
      <c r="F20" s="9" t="s">
        <v>65</v>
      </c>
      <c r="G20" s="10" t="s">
        <v>85</v>
      </c>
      <c r="H20" s="9" t="s">
        <v>95</v>
      </c>
      <c r="I20" s="10" t="s">
        <v>115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31</v>
      </c>
      <c r="E21" s="8" t="s">
        <v>52</v>
      </c>
      <c r="F21" s="7" t="s">
        <v>66</v>
      </c>
      <c r="G21" s="8" t="s">
        <v>86</v>
      </c>
      <c r="H21" s="7" t="s">
        <v>99</v>
      </c>
      <c r="I21" s="8" t="s">
        <v>121</v>
      </c>
      <c r="J21" s="7">
        <v>1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9</v>
      </c>
      <c r="D22" s="9" t="s">
        <v>32</v>
      </c>
      <c r="E22" s="10" t="s">
        <v>53</v>
      </c>
      <c r="F22" s="9" t="s">
        <v>67</v>
      </c>
      <c r="G22" s="10" t="s">
        <v>87</v>
      </c>
      <c r="H22" s="9" t="s">
        <v>100</v>
      </c>
      <c r="I22" s="10" t="s">
        <v>121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10</v>
      </c>
      <c r="D23" s="7" t="s">
        <v>33</v>
      </c>
      <c r="E23" s="8" t="s">
        <v>54</v>
      </c>
      <c r="F23" s="7" t="s">
        <v>68</v>
      </c>
      <c r="G23" s="8" t="s">
        <v>88</v>
      </c>
      <c r="H23" s="7" t="s">
        <v>101</v>
      </c>
      <c r="I23" s="8" t="s">
        <v>116</v>
      </c>
      <c r="J23" s="7">
        <v>1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11</v>
      </c>
      <c r="D24" s="15" t="s">
        <v>34</v>
      </c>
      <c r="E24" s="16" t="s">
        <v>55</v>
      </c>
      <c r="F24" s="15" t="s">
        <v>69</v>
      </c>
      <c r="G24" s="16" t="s">
        <v>89</v>
      </c>
      <c r="H24" s="15" t="s">
        <v>102</v>
      </c>
      <c r="I24" s="16" t="s">
        <v>107</v>
      </c>
      <c r="J24" s="15">
        <v>1</v>
      </c>
      <c r="K24" s="17" t="s">
        <v>120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2024-10-18T08:11:22Z</dcterms:modified>
</cp:coreProperties>
</file>